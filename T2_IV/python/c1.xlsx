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JENG\pyth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G20" i="1" l="1"/>
  <c r="G19" i="1"/>
  <c r="H17" i="1"/>
  <c r="G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B17" i="1" l="1"/>
  <c r="A17" i="1"/>
</calcChain>
</file>

<file path=xl/sharedStrings.xml><?xml version="1.0" encoding="utf-8"?>
<sst xmlns="http://schemas.openxmlformats.org/spreadsheetml/2006/main" count="14" uniqueCount="14">
  <si>
    <t>x</t>
  </si>
  <si>
    <t>y</t>
  </si>
  <si>
    <t>xmean</t>
  </si>
  <si>
    <t>ymean</t>
  </si>
  <si>
    <t>x-xmean</t>
  </si>
  <si>
    <t>y-ymean</t>
  </si>
  <si>
    <t>(x-xmean)*(y-ymean)</t>
  </si>
  <si>
    <t>(x-xmean)2</t>
  </si>
  <si>
    <t>m=</t>
  </si>
  <si>
    <t>c=</t>
  </si>
  <si>
    <t xml:space="preserve"> YPREDICT=MX+C</t>
  </si>
  <si>
    <t>y-ypredict</t>
  </si>
  <si>
    <t>ABS</t>
  </si>
  <si>
    <t>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</si>
</sst>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L2" sqref="L2:L16"/>
    </sheetView>
  </sheetViews>
  <sheetFormatPr defaultRowHeight="15" x14ac:dyDescent="0.25"/>
  <cols>
    <col min="7" max="7" width="22.42578125" customWidth="1"/>
    <col min="8" max="8" width="15.140625" customWidth="1"/>
    <col min="9" max="9" width="19.140625" customWidth="1"/>
    <col min="10" max="10" width="16.7109375" customWidth="1"/>
    <col min="11" max="11" width="19.2851562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10</v>
      </c>
      <c r="J1" s="4" t="s">
        <v>11</v>
      </c>
      <c r="K1" s="4" t="s">
        <v>12</v>
      </c>
      <c r="L1" s="4" t="s">
        <v>13</v>
      </c>
    </row>
    <row r="2" spans="1:12" x14ac:dyDescent="0.25">
      <c r="A2" s="1">
        <v>15</v>
      </c>
      <c r="B2" s="1">
        <v>49</v>
      </c>
      <c r="C2" s="1">
        <v>19.933333333333334</v>
      </c>
      <c r="D2" s="1">
        <v>56.8</v>
      </c>
      <c r="E2" s="1">
        <f>A2-C2</f>
        <v>-4.9333333333333336</v>
      </c>
      <c r="F2" s="1">
        <f>B2-D2</f>
        <v>-7.7999999999999972</v>
      </c>
      <c r="G2" s="1">
        <f>E2*F2</f>
        <v>38.47999999999999</v>
      </c>
      <c r="H2" s="1">
        <f>E2*E2</f>
        <v>24.337777777777781</v>
      </c>
      <c r="I2" s="1">
        <f>(G$19*A2)+G$20</f>
        <v>47.45652173913043</v>
      </c>
      <c r="J2" s="1">
        <f>B2-I2</f>
        <v>1.5434782608695699</v>
      </c>
      <c r="K2" s="1">
        <f>ABS(J2)</f>
        <v>1.5434782608695699</v>
      </c>
      <c r="L2">
        <f>J2*J2</f>
        <v>2.3823251417769518</v>
      </c>
    </row>
    <row r="3" spans="1:12" x14ac:dyDescent="0.25">
      <c r="A3" s="1">
        <v>23</v>
      </c>
      <c r="B3" s="1">
        <v>63</v>
      </c>
      <c r="C3" s="1">
        <v>19.933333333333334</v>
      </c>
      <c r="D3" s="1">
        <v>56.8</v>
      </c>
      <c r="E3" s="1">
        <f t="shared" ref="E3:E16" si="0">A3-C3</f>
        <v>3.0666666666666664</v>
      </c>
      <c r="F3" s="1">
        <f t="shared" ref="F3:F16" si="1">B3-D3</f>
        <v>6.2000000000000028</v>
      </c>
      <c r="G3" s="1">
        <f t="shared" ref="G3:G16" si="2">E3*F3</f>
        <v>19.013333333333339</v>
      </c>
      <c r="H3" s="1">
        <f t="shared" ref="H3:H16" si="3">E3*E3</f>
        <v>9.4044444444444437</v>
      </c>
      <c r="I3" s="1">
        <f t="shared" ref="I3:I16" si="4">(G$19*A3)+G$20</f>
        <v>62.608108108108112</v>
      </c>
      <c r="J3" s="1">
        <f t="shared" ref="J3:J16" si="5">B3-I3</f>
        <v>0.39189189189188767</v>
      </c>
      <c r="K3" s="1">
        <f t="shared" ref="K3:K16" si="6">ABS(J3)</f>
        <v>0.39189189189188767</v>
      </c>
      <c r="L3">
        <f t="shared" ref="L3:L16" si="7">J3*J3</f>
        <v>0.15357925493060298</v>
      </c>
    </row>
    <row r="4" spans="1:12" x14ac:dyDescent="0.25">
      <c r="A4" s="1">
        <v>18</v>
      </c>
      <c r="B4" s="1">
        <v>58</v>
      </c>
      <c r="C4" s="1">
        <v>19.933333333333334</v>
      </c>
      <c r="D4" s="1">
        <v>56.8</v>
      </c>
      <c r="E4" s="1">
        <f t="shared" si="0"/>
        <v>-1.9333333333333336</v>
      </c>
      <c r="F4" s="1">
        <f t="shared" si="1"/>
        <v>1.2000000000000028</v>
      </c>
      <c r="G4" s="1">
        <f t="shared" si="2"/>
        <v>-2.3200000000000056</v>
      </c>
      <c r="H4" s="1">
        <f t="shared" si="3"/>
        <v>3.7377777777777785</v>
      </c>
      <c r="I4" s="1">
        <f t="shared" si="4"/>
        <v>53.138366627497064</v>
      </c>
      <c r="J4" s="1">
        <f t="shared" si="5"/>
        <v>4.8616333725029364</v>
      </c>
      <c r="K4" s="1">
        <f t="shared" si="6"/>
        <v>4.8616333725029364</v>
      </c>
      <c r="L4">
        <f t="shared" si="7"/>
        <v>23.635479048634274</v>
      </c>
    </row>
    <row r="5" spans="1:12" x14ac:dyDescent="0.25">
      <c r="A5" s="1">
        <v>23</v>
      </c>
      <c r="B5" s="1">
        <v>60</v>
      </c>
      <c r="C5" s="1">
        <v>19.933333333333334</v>
      </c>
      <c r="D5" s="1">
        <v>56.8</v>
      </c>
      <c r="E5" s="1">
        <f t="shared" si="0"/>
        <v>3.0666666666666664</v>
      </c>
      <c r="F5" s="1">
        <f t="shared" si="1"/>
        <v>3.2000000000000028</v>
      </c>
      <c r="G5" s="1">
        <f t="shared" si="2"/>
        <v>9.8133333333333415</v>
      </c>
      <c r="H5" s="1">
        <f t="shared" si="3"/>
        <v>9.4044444444444437</v>
      </c>
      <c r="I5" s="1">
        <f t="shared" si="4"/>
        <v>62.608108108108112</v>
      </c>
      <c r="J5" s="1">
        <f t="shared" si="5"/>
        <v>-2.6081081081081123</v>
      </c>
      <c r="K5" s="1">
        <f t="shared" si="6"/>
        <v>2.6081081081081123</v>
      </c>
      <c r="L5">
        <f t="shared" si="7"/>
        <v>6.8022279035792765</v>
      </c>
    </row>
    <row r="6" spans="1:12" x14ac:dyDescent="0.25">
      <c r="A6" s="1">
        <v>24</v>
      </c>
      <c r="B6" s="1">
        <v>58</v>
      </c>
      <c r="C6" s="1">
        <v>19.933333333333334</v>
      </c>
      <c r="D6" s="1">
        <v>56.8</v>
      </c>
      <c r="E6" s="1">
        <f t="shared" si="0"/>
        <v>4.0666666666666664</v>
      </c>
      <c r="F6" s="1">
        <f t="shared" si="1"/>
        <v>1.2000000000000028</v>
      </c>
      <c r="G6" s="1">
        <f t="shared" si="2"/>
        <v>4.8800000000000114</v>
      </c>
      <c r="H6" s="1">
        <f t="shared" si="3"/>
        <v>16.537777777777777</v>
      </c>
      <c r="I6" s="1">
        <f t="shared" si="4"/>
        <v>64.502056404230331</v>
      </c>
      <c r="J6" s="1">
        <f t="shared" si="5"/>
        <v>-6.5020564042303306</v>
      </c>
      <c r="K6" s="1">
        <f t="shared" si="6"/>
        <v>6.5020564042303306</v>
      </c>
      <c r="L6">
        <f t="shared" si="7"/>
        <v>42.276737483792658</v>
      </c>
    </row>
    <row r="7" spans="1:12" x14ac:dyDescent="0.25">
      <c r="A7" s="1">
        <v>22</v>
      </c>
      <c r="B7" s="1">
        <v>61</v>
      </c>
      <c r="C7" s="1">
        <v>19.933333333333334</v>
      </c>
      <c r="D7" s="1">
        <v>56.8</v>
      </c>
      <c r="E7" s="1">
        <f t="shared" si="0"/>
        <v>2.0666666666666664</v>
      </c>
      <c r="F7" s="1">
        <f t="shared" si="1"/>
        <v>4.2000000000000028</v>
      </c>
      <c r="G7" s="1">
        <f t="shared" si="2"/>
        <v>8.680000000000005</v>
      </c>
      <c r="H7" s="1">
        <f t="shared" si="3"/>
        <v>4.27111111111111</v>
      </c>
      <c r="I7" s="1">
        <f t="shared" si="4"/>
        <v>60.714159811985901</v>
      </c>
      <c r="J7" s="1">
        <f t="shared" si="5"/>
        <v>0.28584018801409883</v>
      </c>
      <c r="K7" s="1">
        <f t="shared" si="6"/>
        <v>0.28584018801409883</v>
      </c>
      <c r="L7">
        <f t="shared" si="7"/>
        <v>8.1704613083935368E-2</v>
      </c>
    </row>
    <row r="8" spans="1:12" x14ac:dyDescent="0.25">
      <c r="A8" s="1">
        <v>22</v>
      </c>
      <c r="B8" s="1">
        <v>60</v>
      </c>
      <c r="C8" s="1">
        <v>19.933333333333334</v>
      </c>
      <c r="D8" s="1">
        <v>56.8</v>
      </c>
      <c r="E8" s="1">
        <f t="shared" si="0"/>
        <v>2.0666666666666664</v>
      </c>
      <c r="F8" s="1">
        <f t="shared" si="1"/>
        <v>3.2000000000000028</v>
      </c>
      <c r="G8" s="1">
        <f t="shared" si="2"/>
        <v>6.6133333333333386</v>
      </c>
      <c r="H8" s="1">
        <f t="shared" si="3"/>
        <v>4.27111111111111</v>
      </c>
      <c r="I8" s="1">
        <f t="shared" si="4"/>
        <v>60.714159811985901</v>
      </c>
      <c r="J8" s="1">
        <f t="shared" si="5"/>
        <v>-0.71415981198590117</v>
      </c>
      <c r="K8" s="1">
        <f t="shared" si="6"/>
        <v>0.71415981198590117</v>
      </c>
      <c r="L8">
        <f t="shared" si="7"/>
        <v>0.51002423705573774</v>
      </c>
    </row>
    <row r="9" spans="1:12" x14ac:dyDescent="0.25">
      <c r="A9" s="1">
        <v>19</v>
      </c>
      <c r="B9" s="1">
        <v>63</v>
      </c>
      <c r="C9" s="1">
        <v>19.933333333333334</v>
      </c>
      <c r="D9" s="1">
        <v>56.8</v>
      </c>
      <c r="E9" s="1">
        <f t="shared" si="0"/>
        <v>-0.93333333333333357</v>
      </c>
      <c r="F9" s="1">
        <f t="shared" si="1"/>
        <v>6.2000000000000028</v>
      </c>
      <c r="G9" s="1">
        <f t="shared" si="2"/>
        <v>-5.7866666666666706</v>
      </c>
      <c r="H9" s="1">
        <f t="shared" si="3"/>
        <v>0.8711111111111115</v>
      </c>
      <c r="I9" s="1">
        <f t="shared" si="4"/>
        <v>55.032314923619268</v>
      </c>
      <c r="J9" s="1">
        <f t="shared" si="5"/>
        <v>7.9676850763807323</v>
      </c>
      <c r="K9" s="1">
        <f t="shared" si="6"/>
        <v>7.9676850763807323</v>
      </c>
      <c r="L9">
        <f t="shared" si="7"/>
        <v>63.484005476380233</v>
      </c>
    </row>
    <row r="10" spans="1:12" x14ac:dyDescent="0.25">
      <c r="A10" s="1">
        <v>19</v>
      </c>
      <c r="B10" s="1">
        <v>60</v>
      </c>
      <c r="C10" s="1">
        <v>19.933333333333334</v>
      </c>
      <c r="D10" s="1">
        <v>56.8</v>
      </c>
      <c r="E10" s="1">
        <f t="shared" si="0"/>
        <v>-0.93333333333333357</v>
      </c>
      <c r="F10" s="1">
        <f t="shared" si="1"/>
        <v>3.2000000000000028</v>
      </c>
      <c r="G10" s="1">
        <f t="shared" si="2"/>
        <v>-2.9866666666666699</v>
      </c>
      <c r="H10" s="1">
        <f t="shared" si="3"/>
        <v>0.8711111111111115</v>
      </c>
      <c r="I10" s="1">
        <f t="shared" si="4"/>
        <v>55.032314923619268</v>
      </c>
      <c r="J10" s="1">
        <f t="shared" si="5"/>
        <v>4.9676850763807323</v>
      </c>
      <c r="K10" s="1">
        <f t="shared" si="6"/>
        <v>4.9676850763807323</v>
      </c>
      <c r="L10">
        <f t="shared" si="7"/>
        <v>24.677895018095843</v>
      </c>
    </row>
    <row r="11" spans="1:12" x14ac:dyDescent="0.25">
      <c r="A11" s="1">
        <v>16</v>
      </c>
      <c r="B11" s="1">
        <v>52</v>
      </c>
      <c r="C11" s="1">
        <v>19.933333333333334</v>
      </c>
      <c r="D11" s="1">
        <v>56.8</v>
      </c>
      <c r="E11" s="1">
        <f t="shared" si="0"/>
        <v>-3.9333333333333336</v>
      </c>
      <c r="F11" s="1">
        <f t="shared" si="1"/>
        <v>-4.7999999999999972</v>
      </c>
      <c r="G11" s="1">
        <f t="shared" si="2"/>
        <v>18.879999999999988</v>
      </c>
      <c r="H11" s="1">
        <f t="shared" si="3"/>
        <v>15.471111111111114</v>
      </c>
      <c r="I11" s="1">
        <f t="shared" si="4"/>
        <v>49.350470035252641</v>
      </c>
      <c r="J11" s="1">
        <f t="shared" si="5"/>
        <v>2.6495299647473587</v>
      </c>
      <c r="K11" s="1">
        <f t="shared" si="6"/>
        <v>2.6495299647473587</v>
      </c>
      <c r="L11">
        <f t="shared" si="7"/>
        <v>7.0200090340941399</v>
      </c>
    </row>
    <row r="12" spans="1:12" x14ac:dyDescent="0.25">
      <c r="A12" s="1">
        <v>24</v>
      </c>
      <c r="B12" s="1">
        <v>62</v>
      </c>
      <c r="C12" s="1">
        <v>19.933333333333334</v>
      </c>
      <c r="D12" s="1">
        <v>56.8</v>
      </c>
      <c r="E12" s="1">
        <f t="shared" si="0"/>
        <v>4.0666666666666664</v>
      </c>
      <c r="F12" s="1">
        <f t="shared" si="1"/>
        <v>5.2000000000000028</v>
      </c>
      <c r="G12" s="1">
        <f t="shared" si="2"/>
        <v>21.146666666666675</v>
      </c>
      <c r="H12" s="1">
        <f t="shared" si="3"/>
        <v>16.537777777777777</v>
      </c>
      <c r="I12" s="1">
        <f t="shared" si="4"/>
        <v>64.502056404230331</v>
      </c>
      <c r="J12" s="1">
        <f t="shared" si="5"/>
        <v>-2.5020564042303306</v>
      </c>
      <c r="K12" s="1">
        <f t="shared" si="6"/>
        <v>2.5020564042303306</v>
      </c>
      <c r="L12">
        <f t="shared" si="7"/>
        <v>6.2602862499500116</v>
      </c>
    </row>
    <row r="13" spans="1:12" x14ac:dyDescent="0.25">
      <c r="A13" s="1">
        <v>11</v>
      </c>
      <c r="B13" s="1">
        <v>30</v>
      </c>
      <c r="C13" s="1">
        <v>19.933333333333334</v>
      </c>
      <c r="D13" s="1">
        <v>56.8</v>
      </c>
      <c r="E13" s="1">
        <f t="shared" si="0"/>
        <v>-8.9333333333333336</v>
      </c>
      <c r="F13" s="1">
        <f t="shared" si="1"/>
        <v>-26.799999999999997</v>
      </c>
      <c r="G13" s="1">
        <f t="shared" si="2"/>
        <v>239.41333333333333</v>
      </c>
      <c r="H13" s="1">
        <f t="shared" si="3"/>
        <v>79.804444444444442</v>
      </c>
      <c r="I13" s="1">
        <f t="shared" si="4"/>
        <v>39.880728554641593</v>
      </c>
      <c r="J13" s="1">
        <f t="shared" si="5"/>
        <v>-9.8807285546415926</v>
      </c>
      <c r="K13" s="1">
        <f t="shared" si="6"/>
        <v>9.8807285546415926</v>
      </c>
      <c r="L13">
        <f t="shared" si="7"/>
        <v>97.628796770509737</v>
      </c>
    </row>
    <row r="14" spans="1:12" x14ac:dyDescent="0.25">
      <c r="A14" s="1">
        <v>24</v>
      </c>
      <c r="B14" s="1">
        <v>59</v>
      </c>
      <c r="C14" s="1">
        <v>19.933333333333334</v>
      </c>
      <c r="D14" s="1">
        <v>56.8</v>
      </c>
      <c r="E14" s="1">
        <f t="shared" si="0"/>
        <v>4.0666666666666664</v>
      </c>
      <c r="F14" s="1">
        <f t="shared" si="1"/>
        <v>2.2000000000000028</v>
      </c>
      <c r="G14" s="1">
        <f t="shared" si="2"/>
        <v>8.9466666666666779</v>
      </c>
      <c r="H14" s="1">
        <f t="shared" si="3"/>
        <v>16.537777777777777</v>
      </c>
      <c r="I14" s="1">
        <f t="shared" si="4"/>
        <v>64.502056404230331</v>
      </c>
      <c r="J14" s="1">
        <f t="shared" si="5"/>
        <v>-5.5020564042303306</v>
      </c>
      <c r="K14" s="1">
        <f t="shared" si="6"/>
        <v>5.5020564042303306</v>
      </c>
      <c r="L14">
        <f t="shared" si="7"/>
        <v>30.272624675331993</v>
      </c>
    </row>
    <row r="15" spans="1:12" x14ac:dyDescent="0.25">
      <c r="A15" s="1">
        <v>16</v>
      </c>
      <c r="B15" s="1">
        <v>49</v>
      </c>
      <c r="C15" s="1">
        <v>19.933333333333334</v>
      </c>
      <c r="D15" s="1">
        <v>56.8</v>
      </c>
      <c r="E15" s="1">
        <f t="shared" si="0"/>
        <v>-3.9333333333333336</v>
      </c>
      <c r="F15" s="1">
        <f t="shared" si="1"/>
        <v>-7.7999999999999972</v>
      </c>
      <c r="G15" s="1">
        <f t="shared" si="2"/>
        <v>30.679999999999989</v>
      </c>
      <c r="H15" s="1">
        <f t="shared" si="3"/>
        <v>15.471111111111114</v>
      </c>
      <c r="I15" s="1">
        <f t="shared" si="4"/>
        <v>49.350470035252641</v>
      </c>
      <c r="J15" s="1">
        <f t="shared" si="5"/>
        <v>-0.35047003525264131</v>
      </c>
      <c r="K15" s="1">
        <f t="shared" si="6"/>
        <v>0.35047003525264131</v>
      </c>
      <c r="L15">
        <f t="shared" si="7"/>
        <v>0.12282924560998765</v>
      </c>
    </row>
    <row r="16" spans="1:12" x14ac:dyDescent="0.25">
      <c r="A16" s="1">
        <v>23</v>
      </c>
      <c r="B16" s="1">
        <v>68</v>
      </c>
      <c r="C16" s="1">
        <v>19.933333333333334</v>
      </c>
      <c r="D16" s="1">
        <v>56.8</v>
      </c>
      <c r="E16" s="1">
        <f t="shared" si="0"/>
        <v>3.0666666666666664</v>
      </c>
      <c r="F16" s="1">
        <f t="shared" si="1"/>
        <v>11.200000000000003</v>
      </c>
      <c r="G16" s="1">
        <f t="shared" si="2"/>
        <v>34.346666666666671</v>
      </c>
      <c r="H16" s="1">
        <f t="shared" si="3"/>
        <v>9.4044444444444437</v>
      </c>
      <c r="I16" s="1">
        <f t="shared" si="4"/>
        <v>62.608108108108112</v>
      </c>
      <c r="J16" s="1">
        <f t="shared" si="5"/>
        <v>5.3918918918918877</v>
      </c>
      <c r="K16" s="1">
        <f t="shared" si="6"/>
        <v>5.3918918918918877</v>
      </c>
      <c r="L16">
        <f t="shared" si="7"/>
        <v>29.072498173849478</v>
      </c>
    </row>
    <row r="17" spans="1:11" x14ac:dyDescent="0.25">
      <c r="A17" s="2">
        <f>AVERAGE(A2:A16)</f>
        <v>19.933333333333334</v>
      </c>
      <c r="B17" s="2">
        <f>AVERAGE(B2:B16)</f>
        <v>56.8</v>
      </c>
      <c r="C17" s="1"/>
      <c r="D17" s="1"/>
      <c r="E17" s="1"/>
      <c r="F17" s="1"/>
      <c r="G17" s="3">
        <f>SUM(G2:G16)</f>
        <v>429.80000000000007</v>
      </c>
      <c r="H17" s="3">
        <f>SUM(H2:H16)</f>
        <v>226.93333333333328</v>
      </c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2" t="s">
        <v>8</v>
      </c>
      <c r="G19" s="3">
        <f>G17/H17</f>
        <v>1.8939482961222098</v>
      </c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2" t="s">
        <v>9</v>
      </c>
      <c r="G20" s="3">
        <f>B17-(A17*G19)</f>
        <v>19.047297297297284</v>
      </c>
      <c r="H20" s="1"/>
      <c r="I20" s="1"/>
      <c r="J20" s="1"/>
      <c r="K2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2026-04-10T06:54:30Z</dcterms:created>
  <dcterms:modified xsi:type="dcterms:W3CDTF">2026-04-15T21:58:32Z</dcterms:modified>
</cp:coreProperties>
</file>